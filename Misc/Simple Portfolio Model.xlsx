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81ccc39c065ba0/Documents/Personal Development/Postgrad/UNSW/Data Science/07. Multivariate Statistics/Neural_Lace_MvS/Misc/"/>
    </mc:Choice>
  </mc:AlternateContent>
  <xr:revisionPtr revIDLastSave="261" documentId="13_ncr:1_{729F0B52-E111-4994-9530-5778029ADBF6}" xr6:coauthVersionLast="47" xr6:coauthVersionMax="47" xr10:uidLastSave="{8E79AC20-3155-4B15-9C4C-1C310C472F77}"/>
  <bookViews>
    <workbookView xWindow="-108" yWindow="-108" windowWidth="30936" windowHeight="16776" xr2:uid="{78ED9877-80C6-4688-9764-79F8ED95C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" i="1" l="1" a="1"/>
  <c r="B24" i="1" a="1"/>
  <c r="B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<sst xmlns="http://schemas.openxmlformats.org/spreadsheetml/2006/main" count="43" uniqueCount="23">
  <si>
    <t>Asset Class</t>
  </si>
  <si>
    <t>Cash</t>
  </si>
  <si>
    <t>Australian Equities</t>
  </si>
  <si>
    <t>Global Equities (Developed World) - Unhedged</t>
  </si>
  <si>
    <t>Global Equities (Developed World) - Hedged</t>
  </si>
  <si>
    <t>Australian Government Bonds</t>
  </si>
  <si>
    <t>Global Treasury Bonds - Hedged</t>
  </si>
  <si>
    <t>Portfolio Weights</t>
  </si>
  <si>
    <t>Weights</t>
  </si>
  <si>
    <t>Returns</t>
  </si>
  <si>
    <t>Volatility</t>
  </si>
  <si>
    <t>Correlation Matrix</t>
  </si>
  <si>
    <t>https://edstem.org/au/courses/41412/lessons/119133/slides/817744</t>
  </si>
  <si>
    <t>6 variance terms plus 15 covariance pairs (C(6,2) = 15). Each pair is doubled because the matrix is symmetric.</t>
  </si>
  <si>
    <t>Total</t>
  </si>
  <si>
    <t>1)</t>
  </si>
  <si>
    <t>2)</t>
  </si>
  <si>
    <t>Variance for 2 Assets - this is what we have in Ed:</t>
  </si>
  <si>
    <t>This is what we normally use to calculate variance for 6 Assets:</t>
  </si>
  <si>
    <t>Return</t>
  </si>
  <si>
    <t>Capital Market Assumptions</t>
  </si>
  <si>
    <t>Expected Portfolio Performance</t>
  </si>
  <si>
    <t>Notes on portfolio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</si>
</sst>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0_ ;[Red]\(#,##0.00\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70C0"/>
        <bgColor indexed="64"/>
      </patternFill>
    </fill>
  </fills>
  <borders count="8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164" fontId="0" fillId="0" borderId="1" xfId="2" applyNumberFormat="1" applyFont="1" applyBorder="1"/>
    <xf numFmtId="10" fontId="0" fillId="0" borderId="1" xfId="2" applyNumberFormat="1" applyFont="1" applyBorder="1"/>
    <xf numFmtId="0" fontId="2" fillId="0" borderId="0" xfId="0" applyFont="1" applyAlignment="1">
      <alignment horizontal="center"/>
    </xf>
    <xf numFmtId="165" fontId="0" fillId="2" borderId="3" xfId="1" applyNumberFormat="1" applyFont="1" applyFill="1" applyBorder="1" applyAlignment="1">
      <alignment horizontal="right"/>
    </xf>
    <xf numFmtId="165" fontId="0" fillId="0" borderId="3" xfId="1" applyNumberFormat="1" applyFont="1" applyBorder="1" applyAlignment="1">
      <alignment horizontal="right"/>
    </xf>
    <xf numFmtId="0" fontId="2" fillId="0" borderId="2" xfId="0" applyFont="1" applyBorder="1"/>
    <xf numFmtId="0" fontId="0" fillId="0" borderId="2" xfId="0" applyFont="1" applyBorder="1"/>
    <xf numFmtId="0" fontId="0" fillId="0" borderId="0" xfId="0" applyFont="1"/>
    <xf numFmtId="0" fontId="0" fillId="0" borderId="1" xfId="0" applyFont="1" applyBorder="1"/>
    <xf numFmtId="0" fontId="0" fillId="0" borderId="3" xfId="0" applyFont="1" applyBorder="1"/>
    <xf numFmtId="0" fontId="3" fillId="0" borderId="0" xfId="3" applyFont="1"/>
    <xf numFmtId="10" fontId="0" fillId="0" borderId="0" xfId="0" applyNumberFormat="1" applyFont="1"/>
    <xf numFmtId="0" fontId="0" fillId="0" borderId="4" xfId="0" applyFont="1" applyBorder="1"/>
    <xf numFmtId="10" fontId="0" fillId="0" borderId="4" xfId="2" applyNumberFormat="1" applyFont="1" applyBorder="1"/>
    <xf numFmtId="0" fontId="0" fillId="0" borderId="6" xfId="0" applyFont="1" applyBorder="1"/>
    <xf numFmtId="165" fontId="0" fillId="2" borderId="6" xfId="1" applyNumberFormat="1" applyFont="1" applyFill="1" applyBorder="1" applyAlignment="1">
      <alignment horizontal="right"/>
    </xf>
    <xf numFmtId="165" fontId="0" fillId="0" borderId="6" xfId="1" applyNumberFormat="1" applyFont="1" applyBorder="1" applyAlignment="1">
      <alignment horizontal="right"/>
    </xf>
    <xf numFmtId="0" fontId="5" fillId="0" borderId="7" xfId="0" applyFont="1" applyFill="1" applyBorder="1"/>
    <xf numFmtId="0" fontId="5" fillId="0" borderId="7" xfId="0" applyFont="1" applyFill="1" applyBorder="1" applyAlignment="1">
      <alignment horizontal="right"/>
    </xf>
    <xf numFmtId="0" fontId="7" fillId="4" borderId="0" xfId="0" applyFont="1" applyFill="1" applyBorder="1"/>
    <xf numFmtId="0" fontId="4" fillId="4" borderId="0" xfId="0" applyFont="1" applyFill="1" applyBorder="1"/>
    <xf numFmtId="10" fontId="0" fillId="3" borderId="1" xfId="2" applyNumberFormat="1" applyFont="1" applyFill="1" applyBorder="1"/>
    <xf numFmtId="10" fontId="0" fillId="3" borderId="4" xfId="2" applyNumberFormat="1" applyFont="1" applyFill="1" applyBorder="1"/>
    <xf numFmtId="164" fontId="0" fillId="0" borderId="4" xfId="2" applyNumberFormat="1" applyFont="1" applyBorder="1"/>
    <xf numFmtId="0" fontId="0" fillId="0" borderId="0" xfId="0" applyFont="1" applyBorder="1"/>
    <xf numFmtId="0" fontId="6" fillId="0" borderId="5" xfId="0" applyFont="1" applyFill="1" applyBorder="1" applyAlignment="1">
      <alignment horizontal="center" textRotation="45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24</xdr:col>
      <xdr:colOff>518160</xdr:colOff>
      <xdr:row>22</xdr:row>
      <xdr:rowOff>103750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10AC37-2450-46D1-A624-35F5785F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60680" y="2484120"/>
          <a:ext cx="6614160" cy="3410830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19</xdr:col>
      <xdr:colOff>495607</xdr:colOff>
      <xdr:row>27</xdr:row>
      <xdr:rowOff>38151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DB07B99-73CE-490B-AFE7-20AF8FD59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060680" y="6156960"/>
          <a:ext cx="3543607" cy="586791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22</xdr:col>
      <xdr:colOff>457662</xdr:colOff>
      <xdr:row>37</xdr:row>
      <xdr:rowOff>38230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516C0E6-6C71-42E0-9AA7-D1E7F870C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060680" y="7071360"/>
          <a:ext cx="5334462" cy="1501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dstem.org/au/courses/41412/lessons/119133/slides/8177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AB51D-D904-4091-AC2D-FDB11BC2BA70}">
  <dimension ref="A1:Y29"/>
  <sheetViews>
    <sheetView showGridLines="0" tabSelected="1" workbookViewId="0">
      <selection activeCell="B24" sqref="B24"/>
    </sheetView>
  </sheetViews>
  <sheetFormatPr defaultRowHeight="14.4" x14ac:dyDescent="0.3"/>
  <cols>
    <col min="1" max="1" width="38.109375" style="9" bestFit="1" customWidth="1"/>
    <col min="2" max="4" width="8.88671875" style="9" customWidth="1"/>
    <col min="5" max="5" width="38.109375" style="9" bestFit="1" customWidth="1"/>
    <col min="6" max="7" width="8.88671875" style="9" customWidth="1"/>
    <col min="8" max="8" width="8.88671875" style="9"/>
    <col min="9" max="11" width="8.88671875" style="9" customWidth="1"/>
    <col min="12" max="12" width="8.88671875" style="9"/>
    <col min="13" max="14" width="3.77734375" style="9" customWidth="1"/>
    <col min="15" max="16384" width="8.88671875" style="9"/>
  </cols>
  <sheetData>
    <row r="1" spans="1:25" ht="15.6" x14ac:dyDescent="0.3">
      <c r="A1" s="21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25" ht="111.6" thickBot="1" x14ac:dyDescent="0.35">
      <c r="A2" s="19" t="s">
        <v>0</v>
      </c>
      <c r="B2" s="20" t="s">
        <v>9</v>
      </c>
      <c r="C2" s="20" t="s">
        <v>10</v>
      </c>
      <c r="E2" s="19" t="s">
        <v>11</v>
      </c>
      <c r="F2" s="27" t="s">
        <v>2</v>
      </c>
      <c r="G2" s="27" t="s">
        <v>3</v>
      </c>
      <c r="H2" s="27" t="s">
        <v>4</v>
      </c>
      <c r="I2" s="27" t="s">
        <v>5</v>
      </c>
      <c r="J2" s="27" t="s">
        <v>6</v>
      </c>
      <c r="K2" s="27" t="s">
        <v>1</v>
      </c>
      <c r="M2" s="7" t="s">
        <v>22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3">
      <c r="A3" s="14" t="s">
        <v>2</v>
      </c>
      <c r="B3" s="15">
        <v>7.3516781267455242E-2</v>
      </c>
      <c r="C3" s="15">
        <v>0.1535787290193211</v>
      </c>
      <c r="E3" s="16" t="s">
        <v>2</v>
      </c>
      <c r="F3" s="17">
        <v>1</v>
      </c>
      <c r="G3" s="18">
        <v>0.53477428116850767</v>
      </c>
      <c r="H3" s="18">
        <v>0.77957417439569665</v>
      </c>
      <c r="I3" s="18">
        <v>2.057429493367504E-2</v>
      </c>
      <c r="J3" s="18">
        <v>6.7194520069264907E-2</v>
      </c>
      <c r="K3" s="18">
        <v>3.1729991894188472E-2</v>
      </c>
      <c r="M3" s="4" t="s">
        <v>15</v>
      </c>
      <c r="N3" s="1" t="s">
        <v>17</v>
      </c>
    </row>
    <row r="4" spans="1:25" x14ac:dyDescent="0.3">
      <c r="A4" s="10" t="s">
        <v>3</v>
      </c>
      <c r="B4" s="3">
        <v>6.5531994237576024E-2</v>
      </c>
      <c r="C4" s="3">
        <v>0.14393036262553441</v>
      </c>
      <c r="E4" s="11" t="s">
        <v>3</v>
      </c>
      <c r="F4" s="6">
        <v>0.53477428116850756</v>
      </c>
      <c r="G4" s="5">
        <v>1</v>
      </c>
      <c r="H4" s="6">
        <v>0.66056758432234219</v>
      </c>
      <c r="I4" s="6">
        <v>9.2844962625703714E-2</v>
      </c>
      <c r="J4" s="6">
        <v>5.1932359070597624E-3</v>
      </c>
      <c r="K4" s="6">
        <v>2.1878821709088041E-2</v>
      </c>
      <c r="O4" s="12" t="s">
        <v>12</v>
      </c>
    </row>
    <row r="5" spans="1:25" x14ac:dyDescent="0.3">
      <c r="A5" s="10" t="s">
        <v>4</v>
      </c>
      <c r="B5" s="3">
        <v>6.4863723566813386E-2</v>
      </c>
      <c r="C5" s="3">
        <v>0.1583596025732435</v>
      </c>
      <c r="E5" s="11" t="s">
        <v>4</v>
      </c>
      <c r="F5" s="6">
        <v>0.77957417439569665</v>
      </c>
      <c r="G5" s="6">
        <v>0.66056758432234219</v>
      </c>
      <c r="H5" s="5">
        <v>1</v>
      </c>
      <c r="I5" s="6">
        <v>-4.7236410210640727E-2</v>
      </c>
      <c r="J5" s="6">
        <v>1.7739321347426281E-2</v>
      </c>
      <c r="K5" s="6">
        <v>-4.3395986999765932E-3</v>
      </c>
    </row>
    <row r="6" spans="1:25" x14ac:dyDescent="0.3">
      <c r="A6" s="10" t="s">
        <v>5</v>
      </c>
      <c r="B6" s="3">
        <v>4.2614663370993247E-2</v>
      </c>
      <c r="C6" s="3">
        <v>4.2939509654822218E-2</v>
      </c>
      <c r="E6" s="11" t="s">
        <v>5</v>
      </c>
      <c r="F6" s="6">
        <v>2.0574294933675061E-2</v>
      </c>
      <c r="G6" s="6">
        <v>9.2844962625703673E-2</v>
      </c>
      <c r="H6" s="6">
        <v>-4.7236410210640727E-2</v>
      </c>
      <c r="I6" s="5">
        <v>1</v>
      </c>
      <c r="J6" s="6">
        <v>0.76686362852933843</v>
      </c>
      <c r="K6" s="6">
        <v>0.48839812538776578</v>
      </c>
    </row>
    <row r="7" spans="1:25" x14ac:dyDescent="0.3">
      <c r="A7" s="10" t="s">
        <v>6</v>
      </c>
      <c r="B7" s="3">
        <v>4.5459342349806482E-2</v>
      </c>
      <c r="C7" s="3">
        <v>4.2180197994448262E-2</v>
      </c>
      <c r="E7" s="11" t="s">
        <v>6</v>
      </c>
      <c r="F7" s="6">
        <v>6.7194520069264907E-2</v>
      </c>
      <c r="G7" s="6">
        <v>5.1932359070597459E-3</v>
      </c>
      <c r="H7" s="6">
        <v>1.7739321347426281E-2</v>
      </c>
      <c r="I7" s="6">
        <v>0.76686362852933843</v>
      </c>
      <c r="J7" s="5">
        <v>1</v>
      </c>
      <c r="K7" s="6">
        <v>0.48935992304180898</v>
      </c>
    </row>
    <row r="8" spans="1:25" x14ac:dyDescent="0.3">
      <c r="A8" s="10" t="s">
        <v>1</v>
      </c>
      <c r="B8" s="3">
        <v>3.8421247837531217E-2</v>
      </c>
      <c r="C8" s="3">
        <v>1.754830916915685E-2</v>
      </c>
      <c r="E8" s="11" t="s">
        <v>1</v>
      </c>
      <c r="F8" s="6">
        <v>3.1729991894188479E-2</v>
      </c>
      <c r="G8" s="6">
        <v>2.1878821709088021E-2</v>
      </c>
      <c r="H8" s="6">
        <v>-4.3395986999766011E-3</v>
      </c>
      <c r="I8" s="6">
        <v>0.48839812538776578</v>
      </c>
      <c r="J8" s="6">
        <v>0.48935992304180898</v>
      </c>
      <c r="K8" s="5">
        <v>1</v>
      </c>
    </row>
    <row r="9" spans="1:25" x14ac:dyDescent="0.3">
      <c r="K9" s="13"/>
    </row>
    <row r="11" spans="1:25" ht="15.6" x14ac:dyDescent="0.3">
      <c r="A11" s="21" t="s">
        <v>7</v>
      </c>
      <c r="B11" s="22"/>
    </row>
    <row r="12" spans="1:25" x14ac:dyDescent="0.3">
      <c r="A12" s="26"/>
      <c r="B12" s="26"/>
    </row>
    <row r="13" spans="1:25" x14ac:dyDescent="0.3">
      <c r="A13" s="19" t="s">
        <v>0</v>
      </c>
      <c r="B13" s="20" t="s">
        <v>8</v>
      </c>
    </row>
    <row r="14" spans="1:25" x14ac:dyDescent="0.3">
      <c r="A14" s="14" t="s">
        <v>2</v>
      </c>
      <c r="B14" s="25">
        <v>0.3</v>
      </c>
    </row>
    <row r="15" spans="1:25" x14ac:dyDescent="0.3">
      <c r="A15" s="10" t="s">
        <v>3</v>
      </c>
      <c r="B15" s="2">
        <v>0.21000000000000002</v>
      </c>
    </row>
    <row r="16" spans="1:25" x14ac:dyDescent="0.3">
      <c r="A16" s="10" t="s">
        <v>4</v>
      </c>
      <c r="B16" s="2">
        <v>0.19</v>
      </c>
    </row>
    <row r="17" spans="1:15" x14ac:dyDescent="0.3">
      <c r="A17" s="10" t="s">
        <v>5</v>
      </c>
      <c r="B17" s="2">
        <v>0.125</v>
      </c>
    </row>
    <row r="18" spans="1:15" x14ac:dyDescent="0.3">
      <c r="A18" s="10" t="s">
        <v>6</v>
      </c>
      <c r="B18" s="2">
        <v>0.125</v>
      </c>
    </row>
    <row r="19" spans="1:15" x14ac:dyDescent="0.3">
      <c r="A19" s="10" t="s">
        <v>1</v>
      </c>
      <c r="B19" s="2">
        <v>0.05</v>
      </c>
    </row>
    <row r="20" spans="1:15" x14ac:dyDescent="0.3">
      <c r="A20" s="10" t="s">
        <v>14</v>
      </c>
      <c r="B20" s="2">
        <f>SUM(B14:B19)</f>
        <v>1</v>
      </c>
    </row>
    <row r="23" spans="1:15" ht="15.6" x14ac:dyDescent="0.3">
      <c r="A23" s="21" t="s">
        <v>21</v>
      </c>
      <c r="B23" s="22"/>
    </row>
    <row r="24" spans="1:15" x14ac:dyDescent="0.3">
      <c r="A24" s="14" t="s">
        <v>19</v>
      </c>
      <c r="B24" s="24" cm="1">
        <f t="array" ref="B24">SUMPRODUCT(B3:B8, _xlfn.XLOOKUP(A3:A8, A14:A19, B14:B19))</f>
        <v>6.1071173754798605E-2</v>
      </c>
      <c r="M24" s="4" t="s">
        <v>16</v>
      </c>
      <c r="N24" s="1" t="s">
        <v>18</v>
      </c>
    </row>
    <row r="25" spans="1:15" x14ac:dyDescent="0.3">
      <c r="A25" s="10" t="s">
        <v>10</v>
      </c>
      <c r="B25" s="23" cm="1">
        <f t="array" ref="B25">SQRT(MMULT(TRANSPOSE(B14:B19*C3:C8),MMULT(F3:K8,B14:B19*C3:C8)))</f>
        <v>9.4722648534133883E-2</v>
      </c>
    </row>
    <row r="29" spans="1:15" x14ac:dyDescent="0.3">
      <c r="O29" s="9" t="s">
        <v>13</v>
      </c>
    </row>
  </sheetData>
  <hyperlinks>
    <hyperlink ref="O4" r:id="rId1" xr:uid="{A1D53DB6-2D7E-40AA-BB9C-339A260F4846}"/>
  </hyperlinks>
  <pageMargins left="0.7" right="0.7" top="0.75" bottom="0.75" header="0.3" footer="0.3"/>
  <pageSetup paperSize="9" orientation="portrait" horizontalDpi="300" verticalDpi="300" r:id="rId2"/>
  <headerFooter>
    <oddFooter>&amp;C_x000D_&amp;1#&amp;"Aptos"&amp;10&amp;K000000 [SEC=GENERAL BUSINESS]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2026-10-30T03:51:00Z</dcterms:created>
  <dcterms:modified xsi:type="dcterms:W3CDTF">2026-10-30T11:02:01Z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MSIP_Label_cccd2b48-2e62-4bd7-88d7-1cc007ed5368_Enabled">
    <vt:lpwstr>true</vt:lpwstr>
  </property>
  <property fmtid="{D5CDD505-2E9C-101B-9397-08002B2CF9AE}" pid="4" name="MSIP_Label_cccd2b48-2e62-4bd7-88d7-1cc007ed5368_SetDate">
    <vt:lpwstr>2026-10-30T03:51:20Z</vt:lpwstr>
  </property>
  <property fmtid="{D5CDD505-2E9C-101B-9397-08002B2CF9AE}" pid="5" name="MSIP_Label_cccd2b48-2e62-4bd7-88d7-1cc007ed5368_Method">
    <vt:lpwstr>Privileged</vt:lpwstr>
  </property>
  <property fmtid="{D5CDD505-2E9C-101B-9397-08002B2CF9AE}" pid="6" name="MSIP_Label_cccd2b48-2e62-4bd7-88d7-1cc007ed5368_Name">
    <vt:lpwstr>Internal</vt:lpwstr>
  </property>
  <property fmtid="{D5CDD505-2E9C-101B-9397-08002B2CF9AE}" pid="7" name="MSIP_Label_cccd2b48-2e62-4bd7-88d7-1cc007ed5368_SiteId">
    <vt:lpwstr>bc48651e-90e7-4a7b-8a4e-ba815a02b571</vt:lpwstr>
  </property>
  <property fmtid="{D5CDD505-2E9C-101B-9397-08002B2CF9AE}" pid="8" name="MSIP_Label_cccd2b48-2e62-4bd7-88d7-1cc007ed5368_ActionId">
    <vt:lpwstr>285e6753-f957-4519-a77d-d9997e3dd14d</vt:lpwstr>
  </property>
  <property fmtid="{D5CDD505-2E9C-101B-9397-08002B2CF9AE}" pid="9" name="MSIP_Label_cccd2b48-2e62-4bd7-88d7-1cc007ed5368_ContentBits">
    <vt:lpwstr>2</vt:lpwstr>
  </property>
  <property fmtid="{D5CDD505-2E9C-101B-9397-08002B2CF9AE}" pid="10" name="MSIP_Label_cccd2b48-2e62-4bd7-88d7-1cc007ed5368_Tag">
    <vt:lpwstr>10, 0, 1, 1</vt:lpwstr>
  </property>
</Properties>
</file>